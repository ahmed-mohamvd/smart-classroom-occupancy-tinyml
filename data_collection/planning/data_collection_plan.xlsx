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ec25e1e0f14c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ssion Plan" sheetId="1" r:id="Refd9d29305ce41ad"/>
    <x:sheet xmlns:r="http://schemas.openxmlformats.org/officeDocument/2006/relationships" name="Data Schema" sheetId="2" r:id="R9053a8fc101e4e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6">
    <x:font>
      <x:sz val="11"/>
      <x:name val="Carlito"/>
    </x:font>
    <x:font>
      <x:sz val="10"/>
      <x:color rgb="FF1F2937"/>
      <x:name val="Arial"/>
    </x:font>
    <x:font>
      <x:b/>
      <x:sz val="14"/>
      <x:color rgb="FF17365D"/>
      <x:name val="Arial"/>
    </x:font>
    <x:font>
      <x:b/>
      <x:sz val="10"/>
      <x:color rgb="FF1F2937"/>
      <x:name val="Arial"/>
    </x:font>
    <x:font>
      <x:b/>
      <x:sz val="10"/>
      <x:color rgb="FFFFFFFF"/>
      <x:name val="Arial"/>
    </x:font>
    <x:font>
      <x:i/>
      <x:sz val="10"/>
      <x:color rgb="FF59595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E7E6E6"/>
      </x:patternFill>
    </x:fill>
  </x:fills>
  <x:borders count="17">
    <x:border/>
    <x:border>
      <x:bottom style="thin">
        <x:color rgb="FF9FBAD0"/>
      </x:bottom>
    </x:border>
    <x:border>
      <x:left style="thin">
        <x:color rgb="FF9FBAD0"/>
      </x:left>
      <x:top style="thin">
        <x:color rgb="FF9FBAD0"/>
      </x:top>
    </x:border>
    <x:border>
      <x:right style="thin">
        <x:color rgb="FF9FBAD0"/>
      </x:right>
      <x:top style="thin">
        <x:color rgb="FF9FBAD0"/>
      </x:top>
    </x:border>
    <x:border>
      <x:left style="thin">
        <x:color rgb="FF9FBAD0"/>
      </x:left>
    </x:border>
    <x:border>
      <x:right style="thin">
        <x:color rgb="FF9FBAD0"/>
      </x:right>
    </x:border>
    <x:border>
      <x:left style="thin">
        <x:color rgb="FF9FBAD0"/>
      </x:left>
      <x:bottom style="thin">
        <x:color rgb="FF9FBAD0"/>
      </x:bottom>
    </x:border>
    <x:border>
      <x:right style="thin">
        <x:color rgb="FF9FBAD0"/>
      </x:right>
      <x:bottom style="thin">
        <x:color rgb="FF9FBAD0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6E0E8"/>
      </x:bottom>
    </x:border>
    <x:border>
      <x:top style="thin">
        <x:color rgb="FFD6E0E8"/>
      </x:top>
      <x:bottom style="thin">
        <x:color rgb="FFD6E0E8"/>
      </x:bottom>
    </x:border>
    <x:border>
      <x:top style="thin">
        <x:color rgb="FFD6E0E8"/>
      </x:top>
      <x:bottom style="thin">
        <x:color rgb="FF9FBAD0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FBAD0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 wrapText="1"/>
    </x:xf>
    <x:xf numFmtId="200" fontId="1" fillId="3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 wrapText="1"/>
    </x:xf>
    <x:xf numFmtId="200" fontId="1" fillId="3" borderId="5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0" fontId="3" fillId="2" borderId="6" xfId="0" applyNumberFormat="1" applyFont="1" applyFill="1" applyBorder="1" applyAlignment="1">
      <x:alignment vertical="center" wrapText="1"/>
    </x:xf>
    <x:xf numFmtId="200" fontId="1" fillId="0" borderId="7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8" xfId="0" applyNumberFormat="1" applyFont="1" applyFill="1" applyBorder="1" applyAlignment="1">
      <x:alignment vertical="center"/>
    </x:xf>
    <x:xf numFmtId="0" fontId="4" fillId="4" borderId="9" xfId="0" applyNumberFormat="1" applyFont="1" applyFill="1" applyBorder="1" applyAlignment="1">
      <x:alignment vertical="center"/>
    </x:xf>
    <x:xf numFmtId="0" fontId="4" fillId="4" borderId="10" xfId="0" applyNumberFormat="1" applyFont="1" applyFill="1" applyBorder="1" applyAlignment="1">
      <x:alignment vertical="center"/>
    </x:xf>
    <x:xf numFmtId="0" fontId="4" fillId="4" borderId="8" xfId="0" applyNumberFormat="1" applyFont="1" applyFill="1" applyBorder="1" applyAlignment="1">
      <x:alignment horizontal="center" vertical="center"/>
    </x:xf>
    <x:xf numFmtId="0" fontId="4" fillId="4" borderId="9" xfId="0" applyNumberFormat="1" applyFont="1" applyFill="1" applyBorder="1" applyAlignment="1">
      <x:alignment horizontal="center" vertical="center"/>
    </x:xf>
    <x:xf numFmtId="0" fontId="4" fillId="4" borderId="10" xfId="0" applyNumberFormat="1" applyFont="1" applyFill="1" applyBorder="1" applyAlignment="1">
      <x:alignment horizontal="center"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3" fillId="0" borderId="13" xfId="0" applyNumberFormat="1" applyFont="1" applyFill="1" applyBorder="1" applyAlignment="1">
      <x:alignment vertical="center"/>
    </x:xf>
    <x:xf numFmtId="201" fontId="1" fillId="0" borderId="11" xfId="0" applyNumberFormat="1" applyFont="1" applyFill="1" applyBorder="1" applyAlignment="1">
      <x:alignment vertical="center"/>
    </x:xf>
    <x:xf numFmtId="201" fontId="1" fillId="0" borderId="12" xfId="0" applyNumberFormat="1" applyFont="1" applyFill="1" applyBorder="1" applyAlignment="1">
      <x:alignment vertical="center"/>
    </x:xf>
    <x:xf numFmtId="201" fontId="3" fillId="0" borderId="13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4" borderId="8" xfId="0" applyNumberFormat="1" applyFont="1" applyFill="1" applyBorder="1" applyAlignment="1">
      <x:alignment vertical="center" wrapText="1"/>
    </x:xf>
    <x:xf numFmtId="0" fontId="4" fillId="4" borderId="9" xfId="0" applyNumberFormat="1" applyFont="1" applyFill="1" applyBorder="1" applyAlignment="1">
      <x:alignment vertical="center" wrapText="1"/>
    </x:xf>
    <x:xf numFmtId="0" fontId="4" fillId="4" borderId="10" xfId="0" applyNumberFormat="1" applyFont="1" applyFill="1" applyBorder="1" applyAlignment="1">
      <x:alignment vertical="center" wrapText="1"/>
    </x:xf>
    <x:xf numFmtId="0" fontId="4" fillId="4" borderId="8" xfId="0" applyNumberFormat="1" applyFont="1" applyFill="1" applyBorder="1" applyAlignment="1">
      <x:alignment horizontal="center" vertical="center" wrapText="1"/>
    </x:xf>
    <x:xf numFmtId="0" fontId="4" fillId="4" borderId="9" xfId="0" applyNumberFormat="1" applyFont="1" applyFill="1" applyBorder="1" applyAlignment="1">
      <x:alignment horizontal="center" vertical="center" wrapText="1"/>
    </x:xf>
    <x:xf numFmtId="0" fontId="4" fillId="4" borderId="10" xfId="0" applyNumberFormat="1" applyFont="1" applyFill="1" applyBorder="1" applyAlignment="1">
      <x:alignment horizontal="center" vertical="center" wrapText="1"/>
    </x:xf>
    <x:xf numFmtId="0" fontId="1" fillId="0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horizontal="center" vertical="center" wrapText="1"/>
    </x:xf>
    <x:xf numFmtId="0" fontId="1" fillId="0" borderId="15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200" fontId="1" fillId="0" borderId="14" xfId="0" applyNumberFormat="1" applyFont="1" applyFill="1" applyBorder="1" applyAlignment="1">
      <x:alignment horizontal="center" vertical="center" wrapText="1"/>
    </x:xf>
    <x:xf numFmtId="200" fontId="1" fillId="0" borderId="15" xfId="0" applyNumberFormat="1" applyFont="1" applyFill="1" applyBorder="1" applyAlignment="1">
      <x:alignment horizontal="center" vertical="center" wrapText="1"/>
    </x:xf>
    <x:xf numFmtId="200" fontId="1" fillId="0" borderId="16" xfId="0" applyNumberFormat="1" applyFont="1" applyFill="1" applyBorder="1" applyAlignment="1">
      <x:alignment horizontal="center" vertical="center" wrapText="1"/>
    </x:xf>
    <x:xf numFmtId="201" fontId="1" fillId="0" borderId="14" xfId="0" applyNumberFormat="1" applyFont="1" applyFill="1" applyBorder="1" applyAlignment="1">
      <x:alignment horizontal="center" vertical="center" wrapText="1"/>
    </x:xf>
    <x:xf numFmtId="201" fontId="1" fillId="0" borderId="15" xfId="0" applyNumberFormat="1" applyFont="1" applyFill="1" applyBorder="1" applyAlignment="1">
      <x:alignment horizontal="center" vertical="center" wrapText="1"/>
    </x:xf>
    <x:xf numFmtId="201" fontId="1" fillId="0" borderId="16" xfId="0" applyNumberFormat="1" applyFont="1" applyFill="1" applyBorder="1" applyAlignment="1">
      <x:alignment horizontal="center" vertical="center" wrapText="1"/>
    </x:xf>
    <x:xf numFmtId="0" fontId="1" fillId="3" borderId="14" xfId="0" applyNumberFormat="1" applyFont="1" applyFill="1" applyBorder="1" applyAlignment="1">
      <x:alignment horizontal="center" vertical="center" wrapText="1"/>
    </x:xf>
    <x:xf numFmtId="0" fontId="1" fillId="3" borderId="15" xfId="0" applyNumberFormat="1" applyFont="1" applyFill="1" applyBorder="1" applyAlignment="1">
      <x:alignment horizontal="center" vertical="center" wrapText="1"/>
    </x:xf>
    <x:xf numFmtId="0" fontId="1" fillId="3" borderId="16" xfId="0" applyNumberFormat="1" applyFont="1" applyFill="1" applyBorder="1" applyAlignment="1">
      <x:alignment horizontal="center" vertical="center" wrapText="1"/>
    </x:xf>
    <x:xf numFmtId="0" fontId="1" fillId="2" borderId="14" xfId="0" applyNumberFormat="1" applyFont="1" applyFill="1" applyBorder="1" applyAlignment="1">
      <x:alignment vertical="center" wrapText="1"/>
    </x:xf>
    <x:xf numFmtId="0" fontId="1" fillId="2" borderId="15" xfId="0" applyNumberFormat="1" applyFont="1" applyFill="1" applyBorder="1" applyAlignment="1">
      <x:alignment vertical="center" wrapText="1"/>
    </x:xf>
    <x:xf numFmtId="0" fontId="1" fillId="2" borderId="16" xfId="0" applyNumberFormat="1" applyFont="1" applyFill="1" applyBorder="1" applyAlignment="1">
      <x:alignment vertical="center" wrapText="1"/>
    </x:xf>
    <x:xf numFmtId="0" fontId="1" fillId="5" borderId="14" xfId="0" applyNumberFormat="1" applyFont="1" applyFill="1" applyBorder="1" applyAlignment="1">
      <x:alignment vertical="center" wrapText="1"/>
    </x:xf>
    <x:xf numFmtId="0" fontId="1" fillId="5" borderId="15" xfId="0" applyNumberFormat="1" applyFont="1" applyFill="1" applyBorder="1" applyAlignment="1">
      <x:alignment vertical="center" wrapText="1"/>
    </x:xf>
    <x:xf numFmtId="0" fontId="1" fillId="5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26cc7a32e84d40" /><Relationship Type="http://schemas.openxmlformats.org/officeDocument/2006/relationships/theme" Target="/xl/theme/theme1.xml" Id="R6961116b23214cf0" /><Relationship Type="http://schemas.openxmlformats.org/officeDocument/2006/relationships/sharedStrings" Target="/xl/sharedStrings.xml" Id="R11761b3da47b447f" /><Relationship Type="http://schemas.openxmlformats.org/officeDocument/2006/relationships/worksheet" Target="/xl/worksheets/sheet1.xml" Id="Refd9d29305ce41ad" /><Relationship Type="http://schemas.openxmlformats.org/officeDocument/2006/relationships/worksheet" Target="/xl/worksheets/sheet2.xml" Id="R9053a8fc101e4e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11" topLeftCell="C12" activePane="bottomRight" state="frozen"/>
    </x:sheetView>
  </x:sheetViews>
  <x:sheetFormatPr defaultRowHeight="15"/>
  <x:cols>
    <x:col min="1" max="1" width="22" hidden="0" customWidth="1"/>
    <x:col min="2" max="2" width="10" hidden="0" customWidth="1"/>
    <x:col min="3" max="3" width="9" hidden="0" customWidth="1"/>
    <x:col min="4" max="4" width="18" hidden="0" customWidth="1"/>
    <x:col min="5" max="5" width="13" hidden="0" customWidth="1"/>
    <x:col min="6" max="6" width="22" hidden="0" customWidth="1"/>
    <x:col min="7" max="7" width="22" hidden="0" customWidth="1"/>
    <x:col min="8" max="8" width="19" hidden="0" customWidth="1"/>
    <x:col min="9" max="9" width="15" hidden="0" customWidth="1"/>
    <x:col min="10" max="10" width="13" hidden="0" customWidth="1"/>
    <x:col min="11" max="11" width="2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Occupancy sensor data collection plan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30" customHeight="1">
      <x:c r="A4" s="11" t="str">
        <x:v>Sampling interval (seconds)</x:v>
      </x:c>
      <x:c r="B4" s="12" t="n">
        <x:v>1</x:v>
      </x:c>
      <x:c r="C4" s="2"/>
      <x:c r="D4" s="23" t="str">
        <x:v>Class</x:v>
      </x:c>
      <x:c r="E4" s="24" t="str">
        <x:v>Sessions</x:v>
      </x:c>
      <x:c r="F4" s="24" t="str">
        <x:v>Minutes</x:v>
      </x:c>
      <x:c r="G4" s="25" t="str">
        <x:v>Planned samples</x:v>
      </x:c>
      <x:c r="H4" s="2"/>
      <x:c r="I4" s="2"/>
      <x:c r="J4" s="2"/>
      <x:c r="K4" s="2"/>
    </x:row>
    <x:row r="5" ht="30" customHeight="1">
      <x:c r="A5" s="13" t="str">
        <x:v>Default session duration (minutes)</x:v>
      </x:c>
      <x:c r="B5" s="14" t="n">
        <x:v>10</x:v>
      </x:c>
      <x:c r="C5" s="2"/>
      <x:c r="D5" s="26" t="str">
        <x:v>EMPTY</x:v>
      </x:c>
      <x:c r="E5" s="30" t="n">
        <x:f>COUNTIFS($B$12:$B$26,D5)</x:f>
        <x:v>5</x:v>
      </x:c>
      <x:c r="F5" s="30" t="n">
        <x:f>SUMIFS($E$12:$E$26,$B$12:$B$26,D5)</x:f>
        <x:v>50</x:v>
      </x:c>
      <x:c r="G5" s="30" t="n">
        <x:f>SUMIFS($I$12:$I$26,$B$12:$B$26,D5)</x:f>
        <x:v>3000</x:v>
      </x:c>
      <x:c r="H5" s="2"/>
      <x:c r="I5" s="2"/>
      <x:c r="J5" s="2"/>
      <x:c r="K5" s="2"/>
    </x:row>
    <x:row r="6" ht="30" customHeight="1">
      <x:c r="A6" s="13" t="str">
        <x:v>Target sessions per class</x:v>
      </x:c>
      <x:c r="B6" s="14" t="n">
        <x:v>5</x:v>
      </x:c>
      <x:c r="C6" s="2"/>
      <x:c r="D6" s="27" t="str">
        <x:v>LOW</x:v>
      </x:c>
      <x:c r="E6" s="31" t="n">
        <x:f>COUNTIFS($B$12:$B$26,D6)</x:f>
        <x:v>5</x:v>
      </x:c>
      <x:c r="F6" s="31" t="n">
        <x:f>SUMIFS($E$12:$E$26,$B$12:$B$26,D6)</x:f>
        <x:v>50</x:v>
      </x:c>
      <x:c r="G6" s="31" t="n">
        <x:f>SUMIFS($I$12:$I$26,$B$12:$B$26,D6)</x:f>
        <x:v>3000</x:v>
      </x:c>
      <x:c r="H6" s="2"/>
      <x:c r="I6" s="2"/>
      <x:c r="J6" s="2"/>
      <x:c r="K6" s="2"/>
    </x:row>
    <x:row r="7" ht="30" customHeight="1">
      <x:c r="A7" s="13" t="str">
        <x:v>Target total sessions</x:v>
      </x:c>
      <x:c r="B7" s="15" t="n">
        <x:f>B6*3</x:f>
        <x:v>15</x:v>
      </x:c>
      <x:c r="C7" s="2"/>
      <x:c r="D7" s="27" t="str">
        <x:v>HIGH</x:v>
      </x:c>
      <x:c r="E7" s="31" t="n">
        <x:f>COUNTIFS($B$12:$B$26,D7)</x:f>
        <x:v>5</x:v>
      </x:c>
      <x:c r="F7" s="31" t="n">
        <x:f>SUMIFS($E$12:$E$26,$B$12:$B$26,D7)</x:f>
        <x:v>50</x:v>
      </x:c>
      <x:c r="G7" s="31" t="n">
        <x:f>SUMIFS($I$12:$I$26,$B$12:$B$26,D7)</x:f>
        <x:v>3000</x:v>
      </x:c>
      <x:c r="H7" s="2"/>
      <x:c r="I7" s="2"/>
      <x:c r="J7" s="2"/>
      <x:c r="K7" s="2"/>
    </x:row>
    <x:row r="8" ht="30" customHeight="1">
      <x:c r="A8" s="16" t="str">
        <x:v>Planned total samples</x:v>
      </x:c>
      <x:c r="B8" s="17" t="n">
        <x:f>B5*60/B4*B7</x:f>
        <x:v>9000</x:v>
      </x:c>
      <x:c r="C8" s="2"/>
      <x:c r="D8" s="29" t="str">
        <x:v>TOTAL</x:v>
      </x:c>
      <x:c r="E8" s="32" t="n">
        <x:f>SUM(E5:E7)</x:f>
        <x:v>15</x:v>
      </x:c>
      <x:c r="F8" s="32" t="n">
        <x:f>SUM(F5:F7)</x:f>
        <x:v>150</x:v>
      </x:c>
      <x:c r="G8" s="32" t="n">
        <x:f>SUM(G5:G7)</x:f>
        <x:v>9000</x:v>
      </x:c>
      <x:c r="H8" s="2"/>
      <x:c r="I8" s="2"/>
      <x:c r="J8" s="2"/>
      <x:c r="K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</x:row>
    <x:row r="10">
      <x:c r="A10" s="33" t="str">
        <x:v>Keep the device fixed. Change lighting, occupant position, and movement in a balanced way across all three classes.</x:v>
      </x:c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 t="str"/>
    </x:row>
    <x:row r="11" ht="32" customHeight="1">
      <x:c r="A11" s="37" t="str">
        <x:v>Session ID</x:v>
      </x:c>
      <x:c r="B11" s="38" t="str">
        <x:v>Label</x:v>
      </x:c>
      <x:c r="C11" s="38" t="str">
        <x:v>People</x:v>
      </x:c>
      <x:c r="D11" s="38" t="str">
        <x:v>Lighting</x:v>
      </x:c>
      <x:c r="E11" s="38" t="str">
        <x:v>Duration min</x:v>
      </x:c>
      <x:c r="F11" s="38" t="str">
        <x:v>Activity</x:v>
      </x:c>
      <x:c r="G11" s="38" t="str">
        <x:v>Position coverage</x:v>
      </x:c>
      <x:c r="H11" s="38" t="str">
        <x:v>Device setup</x:v>
      </x:c>
      <x:c r="I11" s="38" t="str">
        <x:v>Planned samples</x:v>
      </x:c>
      <x:c r="J11" s="38" t="str">
        <x:v>Status</x:v>
      </x:c>
      <x:c r="K11" s="39" t="str">
        <x:v>Notes</x:v>
      </x:c>
    </x:row>
    <x:row r="12" ht="30" customHeight="1">
      <x:c r="A12" s="43" t="str">
        <x:v>E01</x:v>
      </x:c>
      <x:c r="B12" s="46" t="str">
        <x:v>EMPTY</x:v>
      </x:c>
      <x:c r="C12" s="49" t="n">
        <x:v>0</x:v>
      </x:c>
      <x:c r="D12" s="46" t="str">
        <x:v>Lights off</x:v>
      </x:c>
      <x:c r="E12" s="49" t="n">
        <x:v>10</x:v>
      </x:c>
      <x:c r="F12" s="43" t="str">
        <x:v>No occupants</x:v>
      </x:c>
      <x:c r="G12" s="43" t="str">
        <x:v>Empty room</x:v>
      </x:c>
      <x:c r="H12" s="43" t="str">
        <x:v>Fixed final mount</x:v>
      </x:c>
      <x:c r="I12" s="52" t="n">
        <x:f>E12*60/$B$4</x:f>
        <x:v>600</x:v>
      </x:c>
      <x:c r="J12" s="55" t="str">
        <x:v>Planned</x:v>
      </x:c>
      <x:c r="K12" s="43" t="str">
        <x:v>Close doors after setup</x:v>
      </x:c>
    </x:row>
    <x:row r="13" ht="30" customHeight="1">
      <x:c r="A13" s="44" t="str">
        <x:v>E02</x:v>
      </x:c>
      <x:c r="B13" s="47" t="str">
        <x:v>EMPTY</x:v>
      </x:c>
      <x:c r="C13" s="50" t="n">
        <x:v>0</x:v>
      </x:c>
      <x:c r="D13" s="47" t="str">
        <x:v>Normal lights</x:v>
      </x:c>
      <x:c r="E13" s="50" t="n">
        <x:v>10</x:v>
      </x:c>
      <x:c r="F13" s="44" t="str">
        <x:v>No occupants</x:v>
      </x:c>
      <x:c r="G13" s="44" t="str">
        <x:v>Empty room</x:v>
      </x:c>
      <x:c r="H13" s="44" t="str">
        <x:v>Fixed final mount</x:v>
      </x:c>
      <x:c r="I13" s="53" t="n">
        <x:f>E13*60/$B$4</x:f>
        <x:v>600</x:v>
      </x:c>
      <x:c r="J13" s="56" t="str">
        <x:v>Planned</x:v>
      </x:c>
      <x:c r="K13" s="44" t="str">
        <x:v>Typical daytime setup</x:v>
      </x:c>
    </x:row>
    <x:row r="14" ht="30" customHeight="1">
      <x:c r="A14" s="44" t="str">
        <x:v>E03</x:v>
      </x:c>
      <x:c r="B14" s="47" t="str">
        <x:v>EMPTY</x:v>
      </x:c>
      <x:c r="C14" s="50" t="n">
        <x:v>0</x:v>
      </x:c>
      <x:c r="D14" s="47" t="str">
        <x:v>Bright/daylight</x:v>
      </x:c>
      <x:c r="E14" s="50" t="n">
        <x:v>10</x:v>
      </x:c>
      <x:c r="F14" s="44" t="str">
        <x:v>No occupants</x:v>
      </x:c>
      <x:c r="G14" s="44" t="str">
        <x:v>Empty room</x:v>
      </x:c>
      <x:c r="H14" s="44" t="str">
        <x:v>Fixed final mount</x:v>
      </x:c>
      <x:c r="I14" s="53" t="n">
        <x:f>E14*60/$B$4</x:f>
        <x:v>600</x:v>
      </x:c>
      <x:c r="J14" s="56" t="str">
        <x:v>Planned</x:v>
      </x:c>
      <x:c r="K14" s="44" t="str">
        <x:v>Record daylight variation</x:v>
      </x:c>
    </x:row>
    <x:row r="15" ht="30" customHeight="1">
      <x:c r="A15" s="44" t="str">
        <x:v>E04</x:v>
      </x:c>
      <x:c r="B15" s="47" t="str">
        <x:v>EMPTY</x:v>
      </x:c>
      <x:c r="C15" s="50" t="n">
        <x:v>0</x:v>
      </x:c>
      <x:c r="D15" s="47" t="str">
        <x:v>Dim light</x:v>
      </x:c>
      <x:c r="E15" s="50" t="n">
        <x:v>10</x:v>
      </x:c>
      <x:c r="F15" s="44" t="str">
        <x:v>No occupants</x:v>
      </x:c>
      <x:c r="G15" s="44" t="str">
        <x:v>Empty room</x:v>
      </x:c>
      <x:c r="H15" s="44" t="str">
        <x:v>Fixed final mount</x:v>
      </x:c>
      <x:c r="I15" s="53" t="n">
        <x:f>E15*60/$B$4</x:f>
        <x:v>600</x:v>
      </x:c>
      <x:c r="J15" s="56" t="str">
        <x:v>Planned</x:v>
      </x:c>
      <x:c r="K15" s="44" t="str">
        <x:v>Run at a different time</x:v>
      </x:c>
    </x:row>
    <x:row r="16" ht="30" customHeight="1">
      <x:c r="A16" s="44" t="str">
        <x:v>E05</x:v>
      </x:c>
      <x:c r="B16" s="47" t="str">
        <x:v>EMPTY</x:v>
      </x:c>
      <x:c r="C16" s="50" t="n">
        <x:v>0</x:v>
      </x:c>
      <x:c r="D16" s="47" t="str">
        <x:v>Mixed/daylight</x:v>
      </x:c>
      <x:c r="E16" s="50" t="n">
        <x:v>10</x:v>
      </x:c>
      <x:c r="F16" s="44" t="str">
        <x:v>No occupants</x:v>
      </x:c>
      <x:c r="G16" s="44" t="str">
        <x:v>Empty room</x:v>
      </x:c>
      <x:c r="H16" s="44" t="str">
        <x:v>Fixed final mount</x:v>
      </x:c>
      <x:c r="I16" s="53" t="n">
        <x:f>E16*60/$B$4</x:f>
        <x:v>600</x:v>
      </x:c>
      <x:c r="J16" s="56" t="str">
        <x:v>Planned</x:v>
      </x:c>
      <x:c r="K16" s="44" t="str">
        <x:v>Final EMPTY test session</x:v>
      </x:c>
    </x:row>
    <x:row r="17" ht="30" customHeight="1">
      <x:c r="A17" s="44" t="str">
        <x:v>L01</x:v>
      </x:c>
      <x:c r="B17" s="47" t="str">
        <x:v>LOW</x:v>
      </x:c>
      <x:c r="C17" s="50" t="n">
        <x:v>1</x:v>
      </x:c>
      <x:c r="D17" s="47" t="str">
        <x:v>Normal lights</x:v>
      </x:c>
      <x:c r="E17" s="50" t="n">
        <x:v>10</x:v>
      </x:c>
      <x:c r="F17" s="44" t="str">
        <x:v>Mostly seated</x:v>
      </x:c>
      <x:c r="G17" s="44" t="str">
        <x:v>Near, center, far</x:v>
      </x:c>
      <x:c r="H17" s="44" t="str">
        <x:v>Fixed final mount</x:v>
      </x:c>
      <x:c r="I17" s="53" t="n">
        <x:f>E17*60/$B$4</x:f>
        <x:v>600</x:v>
      </x:c>
      <x:c r="J17" s="56" t="str">
        <x:v>Planned</x:v>
      </x:c>
      <x:c r="K17" s="44" t="str">
        <x:v>Change seat during session</x:v>
      </x:c>
    </x:row>
    <x:row r="18" ht="30" customHeight="1">
      <x:c r="A18" s="44" t="str">
        <x:v>L02</x:v>
      </x:c>
      <x:c r="B18" s="47" t="str">
        <x:v>LOW</x:v>
      </x:c>
      <x:c r="C18" s="50" t="n">
        <x:v>1</x:v>
      </x:c>
      <x:c r="D18" s="47" t="str">
        <x:v>Lights off</x:v>
      </x:c>
      <x:c r="E18" s="50" t="n">
        <x:v>10</x:v>
      </x:c>
      <x:c r="F18" s="44" t="str">
        <x:v>Walking and seated</x:v>
      </x:c>
      <x:c r="G18" s="44" t="str">
        <x:v>Room coverage</x:v>
      </x:c>
      <x:c r="H18" s="44" t="str">
        <x:v>Fixed final mount</x:v>
      </x:c>
      <x:c r="I18" s="53" t="n">
        <x:f>E18*60/$B$4</x:f>
        <x:v>600</x:v>
      </x:c>
      <x:c r="J18" s="56" t="str">
        <x:v>Planned</x:v>
      </x:c>
      <x:c r="K18" s="44" t="str">
        <x:v>Natural motion pattern</x:v>
      </x:c>
    </x:row>
    <x:row r="19" ht="30" customHeight="1">
      <x:c r="A19" s="44" t="str">
        <x:v>L03</x:v>
      </x:c>
      <x:c r="B19" s="47" t="str">
        <x:v>LOW</x:v>
      </x:c>
      <x:c r="C19" s="50" t="n">
        <x:v>2</x:v>
      </x:c>
      <x:c r="D19" s="47" t="str">
        <x:v>Bright/daylight</x:v>
      </x:c>
      <x:c r="E19" s="50" t="n">
        <x:v>10</x:v>
      </x:c>
      <x:c r="F19" s="44" t="str">
        <x:v>Mostly seated</x:v>
      </x:c>
      <x:c r="G19" s="44" t="str">
        <x:v>Different seats</x:v>
      </x:c>
      <x:c r="H19" s="44" t="str">
        <x:v>Fixed final mount</x:v>
      </x:c>
      <x:c r="I19" s="53" t="n">
        <x:f>E19*60/$B$4</x:f>
        <x:v>600</x:v>
      </x:c>
      <x:c r="J19" s="56" t="str">
        <x:v>Planned</x:v>
      </x:c>
      <x:c r="K19" s="44" t="str">
        <x:v>Avoid blocking sensors</x:v>
      </x:c>
    </x:row>
    <x:row r="20" ht="30" customHeight="1">
      <x:c r="A20" s="44" t="str">
        <x:v>L04</x:v>
      </x:c>
      <x:c r="B20" s="47" t="str">
        <x:v>LOW</x:v>
      </x:c>
      <x:c r="C20" s="50" t="n">
        <x:v>2</x:v>
      </x:c>
      <x:c r="D20" s="47" t="str">
        <x:v>Dim light</x:v>
      </x:c>
      <x:c r="E20" s="50" t="n">
        <x:v>10</x:v>
      </x:c>
      <x:c r="F20" s="44" t="str">
        <x:v>Mixed movement</x:v>
      </x:c>
      <x:c r="G20" s="44" t="str">
        <x:v>Near and far</x:v>
      </x:c>
      <x:c r="H20" s="44" t="str">
        <x:v>Fixed final mount</x:v>
      </x:c>
      <x:c r="I20" s="53" t="n">
        <x:f>E20*60/$B$4</x:f>
        <x:v>600</x:v>
      </x:c>
      <x:c r="J20" s="56" t="str">
        <x:v>Planned</x:v>
      </x:c>
      <x:c r="K20" s="44" t="str">
        <x:v>Include quiet periods</x:v>
      </x:c>
    </x:row>
    <x:row r="21" ht="30" customHeight="1">
      <x:c r="A21" s="44" t="str">
        <x:v>L05</x:v>
      </x:c>
      <x:c r="B21" s="47" t="str">
        <x:v>LOW</x:v>
      </x:c>
      <x:c r="C21" s="50" t="n">
        <x:v>1</x:v>
      </x:c>
      <x:c r="D21" s="47" t="str">
        <x:v>Mixed/daylight</x:v>
      </x:c>
      <x:c r="E21" s="50" t="n">
        <x:v>10</x:v>
      </x:c>
      <x:c r="F21" s="44" t="str">
        <x:v>Mixed movement</x:v>
      </x:c>
      <x:c r="G21" s="44" t="str">
        <x:v>Full room</x:v>
      </x:c>
      <x:c r="H21" s="44" t="str">
        <x:v>Fixed final mount</x:v>
      </x:c>
      <x:c r="I21" s="53" t="n">
        <x:f>E21*60/$B$4</x:f>
        <x:v>600</x:v>
      </x:c>
      <x:c r="J21" s="56" t="str">
        <x:v>Planned</x:v>
      </x:c>
      <x:c r="K21" s="44" t="str">
        <x:v>Final LOW test session</x:v>
      </x:c>
    </x:row>
    <x:row r="22" ht="30" customHeight="1">
      <x:c r="A22" s="44" t="str">
        <x:v>H01</x:v>
      </x:c>
      <x:c r="B22" s="47" t="str">
        <x:v>HIGH</x:v>
      </x:c>
      <x:c r="C22" s="50" t="n">
        <x:v>3</x:v>
      </x:c>
      <x:c r="D22" s="47" t="str">
        <x:v>Normal lights</x:v>
      </x:c>
      <x:c r="E22" s="50" t="n">
        <x:v>10</x:v>
      </x:c>
      <x:c r="F22" s="44" t="str">
        <x:v>Mostly seated</x:v>
      </x:c>
      <x:c r="G22" s="44" t="str">
        <x:v>Several positions</x:v>
      </x:c>
      <x:c r="H22" s="44" t="str">
        <x:v>Fixed final mount</x:v>
      </x:c>
      <x:c r="I22" s="53" t="n">
        <x:f>E22*60/$B$4</x:f>
        <x:v>600</x:v>
      </x:c>
      <x:c r="J22" s="56" t="str">
        <x:v>Planned</x:v>
      </x:c>
      <x:c r="K22" s="44" t="str">
        <x:v>Natural conversation</x:v>
      </x:c>
    </x:row>
    <x:row r="23" ht="30" customHeight="1">
      <x:c r="A23" s="44" t="str">
        <x:v>H02</x:v>
      </x:c>
      <x:c r="B23" s="47" t="str">
        <x:v>HIGH</x:v>
      </x:c>
      <x:c r="C23" s="50" t="n">
        <x:v>3</x:v>
      </x:c>
      <x:c r="D23" s="47" t="str">
        <x:v>Lights off</x:v>
      </x:c>
      <x:c r="E23" s="50" t="n">
        <x:v>10</x:v>
      </x:c>
      <x:c r="F23" s="44" t="str">
        <x:v>Mixed movement</x:v>
      </x:c>
      <x:c r="G23" s="44" t="str">
        <x:v>Room coverage</x:v>
      </x:c>
      <x:c r="H23" s="44" t="str">
        <x:v>Fixed final mount</x:v>
      </x:c>
      <x:c r="I23" s="53" t="n">
        <x:f>E23*60/$B$4</x:f>
        <x:v>600</x:v>
      </x:c>
      <x:c r="J23" s="56" t="str">
        <x:v>Planned</x:v>
      </x:c>
      <x:c r="K23" s="44" t="str">
        <x:v>Do not crowd one sensor</x:v>
      </x:c>
    </x:row>
    <x:row r="24" ht="30" customHeight="1">
      <x:c r="A24" s="44" t="str">
        <x:v>H03</x:v>
      </x:c>
      <x:c r="B24" s="47" t="str">
        <x:v>HIGH</x:v>
      </x:c>
      <x:c r="C24" s="50" t="n">
        <x:v>4</x:v>
      </x:c>
      <x:c r="D24" s="47" t="str">
        <x:v>Bright/daylight</x:v>
      </x:c>
      <x:c r="E24" s="50" t="n">
        <x:v>10</x:v>
      </x:c>
      <x:c r="F24" s="44" t="str">
        <x:v>Mostly seated</x:v>
      </x:c>
      <x:c r="G24" s="44" t="str">
        <x:v>Different seats</x:v>
      </x:c>
      <x:c r="H24" s="44" t="str">
        <x:v>Fixed final mount</x:v>
      </x:c>
      <x:c r="I24" s="53" t="n">
        <x:f>E24*60/$B$4</x:f>
        <x:v>600</x:v>
      </x:c>
      <x:c r="J24" s="56" t="str">
        <x:v>Planned</x:v>
      </x:c>
      <x:c r="K24" s="44" t="str">
        <x:v>Include small movements</x:v>
      </x:c>
    </x:row>
    <x:row r="25" ht="30" customHeight="1">
      <x:c r="A25" s="44" t="str">
        <x:v>H04</x:v>
      </x:c>
      <x:c r="B25" s="47" t="str">
        <x:v>HIGH</x:v>
      </x:c>
      <x:c r="C25" s="50" t="n">
        <x:v>4</x:v>
      </x:c>
      <x:c r="D25" s="47" t="str">
        <x:v>Dim light</x:v>
      </x:c>
      <x:c r="E25" s="50" t="n">
        <x:v>10</x:v>
      </x:c>
      <x:c r="F25" s="44" t="str">
        <x:v>Walking and seated</x:v>
      </x:c>
      <x:c r="G25" s="44" t="str">
        <x:v>Near and far</x:v>
      </x:c>
      <x:c r="H25" s="44" t="str">
        <x:v>Fixed final mount</x:v>
      </x:c>
      <x:c r="I25" s="53" t="n">
        <x:f>E25*60/$B$4</x:f>
        <x:v>600</x:v>
      </x:c>
      <x:c r="J25" s="56" t="str">
        <x:v>Planned</x:v>
      </x:c>
      <x:c r="K25" s="44" t="str">
        <x:v>Natural entry and exit</x:v>
      </x:c>
    </x:row>
    <x:row r="26" ht="30" customHeight="1">
      <x:c r="A26" s="45" t="str">
        <x:v>H05</x:v>
      </x:c>
      <x:c r="B26" s="48" t="str">
        <x:v>HIGH</x:v>
      </x:c>
      <x:c r="C26" s="51" t="n">
        <x:v>5</x:v>
      </x:c>
      <x:c r="D26" s="48" t="str">
        <x:v>Mixed/daylight</x:v>
      </x:c>
      <x:c r="E26" s="51" t="n">
        <x:v>10</x:v>
      </x:c>
      <x:c r="F26" s="45" t="str">
        <x:v>Mixed movement</x:v>
      </x:c>
      <x:c r="G26" s="45" t="str">
        <x:v>Full room</x:v>
      </x:c>
      <x:c r="H26" s="45" t="str">
        <x:v>Fixed final mount</x:v>
      </x:c>
      <x:c r="I26" s="54" t="n">
        <x:f>E26*60/$B$4</x:f>
        <x:v>600</x:v>
      </x:c>
      <x:c r="J26" s="57" t="str">
        <x:v>Planned</x:v>
      </x:c>
      <x:c r="K26" s="45" t="str">
        <x:v>Final HIGH test session</x:v>
      </x:c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</x:sheetData>
  <x:conditionalFormatting sqref="J12:J26">
    <x:cfRule type="containsText" dxfId="0" priority="1" operator="containsText" text="Complete"/>
    <x:cfRule type="containsText" dxfId="1" priority="2" operator="containsText" text="Redo"/>
  </x:conditionalFormatting>
  <x:dataValidations count="1">
    <x:dataValidation type="list" sqref="J12:J26">
      <x:formula1>"Planned,In progress,Complete,Redo"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4" hidden="0" customWidth="1"/>
    <x:col min="3" max="3" width="30" hidden="0" customWidth="1"/>
    <x:col min="4" max="4" width="38" hidden="0" customWidth="1"/>
    <x:col min="5" max="5" width="3" hidden="0" customWidth="1"/>
    <x:col min="6" max="6" width="23" hidden="0" customWidth="1"/>
    <x:col min="7" max="7" width="35" hidden="0" customWidth="1"/>
    <x:col min="8" max="8" width="3" hidden="0" customWidth="1"/>
    <x:col min="9" max="9" width="12" hidden="0" customWidth="1"/>
    <x:col min="10" max="10" width="38" hidden="0" customWidth="1"/>
    <x:col min="11" max="11" width="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Data fields and operating rules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8" customHeight="1">
      <x:c r="A4" s="23" t="str">
        <x:v>Raw CSV field</x:v>
      </x:c>
      <x:c r="B4" s="24" t="str">
        <x:v>Unit/type</x:v>
      </x:c>
      <x:c r="C4" s="24" t="str">
        <x:v>Meaning</x:v>
      </x:c>
      <x:c r="D4" s="25" t="str">
        <x:v>Cleaning rule</x:v>
      </x:c>
      <x:c r="E4" s="2"/>
      <x:c r="F4" s="23" t="str">
        <x:v>Training CSV field</x:v>
      </x:c>
      <x:c r="G4" s="25" t="str">
        <x:v>Use</x:v>
      </x:c>
      <x:c r="H4" s="2"/>
      <x:c r="I4" s="23" t="str">
        <x:v>Command</x:v>
      </x:c>
      <x:c r="J4" s="25" t="str">
        <x:v>Action</x:v>
      </x:c>
      <x:c r="K4" s="2"/>
    </x:row>
    <x:row r="5" ht="28" customHeight="1">
      <x:c r="A5" s="58" t="str">
        <x:v>timestamp</x:v>
      </x:c>
      <x:c r="B5" s="43" t="str">
        <x:v>ISO date-time</x:v>
      </x:c>
      <x:c r="C5" s="43" t="str">
        <x:v>Host time anchored to STM32 uptime</x:v>
      </x:c>
      <x:c r="D5" s="43" t="str">
        <x:v>Must parse as a timestamp</x:v>
      </x:c>
      <x:c r="E5" s="2"/>
      <x:c r="F5" s="58" t="str">
        <x:v>timestamp</x:v>
      </x:c>
      <x:c r="G5" s="43" t="str">
        <x:v>Ordering and session timing</x:v>
      </x:c>
      <x:c r="H5" s="2"/>
      <x:c r="I5" s="61" t="str">
        <x:v>E</x:v>
      </x:c>
      <x:c r="J5" s="43" t="str">
        <x:v>Select EMPTY before recording</x:v>
      </x:c>
      <x:c r="K5" s="2"/>
    </x:row>
    <x:row r="6" ht="28" customHeight="1">
      <x:c r="A6" s="59" t="str">
        <x:v>run_id</x:v>
      </x:c>
      <x:c r="B6" s="44" t="str">
        <x:v>text</x:v>
      </x:c>
      <x:c r="C6" s="44" t="str">
        <x:v>One logger run</x:v>
      </x:c>
      <x:c r="D6" s="44" t="str">
        <x:v>Used to make sessions unique</x:v>
      </x:c>
      <x:c r="E6" s="2"/>
      <x:c r="F6" s="59" t="str">
        <x:v>session_id</x:v>
      </x:c>
      <x:c r="G6" s="44" t="str">
        <x:v>Independent train/validation/test split</x:v>
      </x:c>
      <x:c r="H6" s="2"/>
      <x:c r="I6" s="62" t="str">
        <x:v>L</x:v>
      </x:c>
      <x:c r="J6" s="44" t="str">
        <x:v>Select LOW (1–2 people)</x:v>
      </x:c>
      <x:c r="K6" s="2"/>
    </x:row>
    <x:row r="7" ht="28" customHeight="1">
      <x:c r="A7" s="59" t="str">
        <x:v>sequence</x:v>
      </x:c>
      <x:c r="B7" s="44" t="str">
        <x:v>count</x:v>
      </x:c>
      <x:c r="C7" s="44" t="str">
        <x:v>Row number inside session</x:v>
      </x:c>
      <x:c r="D7" s="44" t="str">
        <x:v>Must be numeric</x:v>
      </x:c>
      <x:c r="E7" s="2"/>
      <x:c r="F7" s="59" t="str">
        <x:v>pir_1</x:v>
      </x:c>
      <x:c r="G7" s="44" t="str">
        <x:v>Current PIR state</x:v>
      </x:c>
      <x:c r="H7" s="2"/>
      <x:c r="I7" s="62" t="str">
        <x:v>H</x:v>
      </x:c>
      <x:c r="J7" s="44" t="str">
        <x:v>Select HIGH (3+ people)</x:v>
      </x:c>
      <x:c r="K7" s="2"/>
    </x:row>
    <x:row r="8" ht="28" customHeight="1">
      <x:c r="A8" s="59" t="str">
        <x:v>mcu_time_ms</x:v>
      </x:c>
      <x:c r="B8" s="44" t="str">
        <x:v>ms</x:v>
      </x:c>
      <x:c r="C8" s="44" t="str">
        <x:v>STM32 uptime</x:v>
      </x:c>
      <x:c r="D8" s="44" t="str">
        <x:v>Kept in raw data</x:v>
      </x:c>
      <x:c r="E8" s="2"/>
      <x:c r="F8" s="59" t="str">
        <x:v>pir_2</x:v>
      </x:c>
      <x:c r="G8" s="44" t="str">
        <x:v>Current PIR state</x:v>
      </x:c>
      <x:c r="H8" s="2"/>
      <x:c r="I8" s="62" t="str">
        <x:v>S</x:v>
      </x:c>
      <x:c r="J8" s="44" t="str">
        <x:v>Start a new session</x:v>
      </x:c>
      <x:c r="K8" s="2"/>
    </x:row>
    <x:row r="9" ht="28" customHeight="1">
      <x:c r="A9" s="59" t="str">
        <x:v>session_id</x:v>
      </x:c>
      <x:c r="B9" s="44" t="str">
        <x:v>text</x:v>
      </x:c>
      <x:c r="C9" s="44" t="str">
        <x:v>STM32 session number</x:v>
      </x:c>
      <x:c r="D9" s="44" t="str">
        <x:v>One label per session</x:v>
      </x:c>
      <x:c r="E9" s="2"/>
      <x:c r="F9" s="59" t="str">
        <x:v>tof_mm</x:v>
      </x:c>
      <x:c r="G9" s="44" t="str">
        <x:v>Valid or short-gap-filled distance</x:v>
      </x:c>
      <x:c r="H9" s="2"/>
      <x:c r="I9" s="62" t="str">
        <x:v>X</x:v>
      </x:c>
      <x:c r="J9" s="44" t="str">
        <x:v>Stop the current session</x:v>
      </x:c>
      <x:c r="K9" s="2"/>
    </x:row>
    <x:row r="10" ht="28" customHeight="1">
      <x:c r="A10" s="59" t="str">
        <x:v>pir_1</x:v>
      </x:c>
      <x:c r="B10" s="44" t="str">
        <x:v>0/1</x:v>
      </x:c>
      <x:c r="C10" s="44" t="str">
        <x:v>PIR sensor 1 state</x:v>
      </x:c>
      <x:c r="D10" s="44" t="str">
        <x:v>Only 0 or 1</x:v>
      </x:c>
      <x:c r="E10" s="2"/>
      <x:c r="F10" s="59" t="str">
        <x:v>temperature_c</x:v>
      </x:c>
      <x:c r="G10" s="44" t="str">
        <x:v>Environmental feature</x:v>
      </x:c>
      <x:c r="H10" s="2"/>
      <x:c r="I10" s="63" t="str">
        <x:v>?</x:v>
      </x:c>
      <x:c r="J10" s="45" t="str">
        <x:v>Print status and sensor readiness</x:v>
      </x:c>
      <x:c r="K10" s="2"/>
    </x:row>
    <x:row r="11" ht="28" customHeight="1">
      <x:c r="A11" s="59" t="str">
        <x:v>pir_2</x:v>
      </x:c>
      <x:c r="B11" s="44" t="str">
        <x:v>0/1</x:v>
      </x:c>
      <x:c r="C11" s="44" t="str">
        <x:v>PIR sensor 2 state</x:v>
      </x:c>
      <x:c r="D11" s="44" t="str">
        <x:v>Only 0 or 1</x:v>
      </x:c>
      <x:c r="E11" s="2"/>
      <x:c r="F11" s="59" t="str">
        <x:v>humidity_percent</x:v>
      </x:c>
      <x:c r="G11" s="44" t="str">
        <x:v>Environmental feature</x:v>
      </x:c>
      <x:c r="H11" s="2"/>
      <x:c r="I11" s="2"/>
      <x:c r="J11" s="2"/>
      <x:c r="K11" s="2"/>
    </x:row>
    <x:row r="12" ht="28" customHeight="1">
      <x:c r="A12" s="59" t="str">
        <x:v>tof_mm</x:v>
      </x:c>
      <x:c r="B12" s="44" t="str">
        <x:v>mm</x:v>
      </x:c>
      <x:c r="C12" s="44" t="str">
        <x:v>VL53L0X distance</x:v>
      </x:c>
      <x:c r="D12" s="44" t="str">
        <x:v>20–2000 mm after status check</x:v>
      </x:c>
      <x:c r="E12" s="2"/>
      <x:c r="F12" s="59" t="str">
        <x:v>light_lux</x:v>
      </x:c>
      <x:c r="G12" s="44" t="str">
        <x:v>Environmental feature</x:v>
      </x:c>
      <x:c r="H12" s="2"/>
      <x:c r="I12" s="2"/>
      <x:c r="J12" s="2"/>
      <x:c r="K12" s="2"/>
    </x:row>
    <x:row r="13" ht="28" customHeight="1">
      <x:c r="A13" s="59" t="str">
        <x:v>tof_status</x:v>
      </x:c>
      <x:c r="B13" s="44" t="str">
        <x:v>code</x:v>
      </x:c>
      <x:c r="C13" s="44" t="str">
        <x:v>VL53L0X RangeStatus</x:v>
      </x:c>
      <x:c r="D13" s="44" t="str">
        <x:v>0 is valid; other values are invalid</x:v>
      </x:c>
      <x:c r="E13" s="2"/>
      <x:c r="F13" s="60" t="str">
        <x:v>occupancy_label</x:v>
      </x:c>
      <x:c r="G13" s="45" t="str">
        <x:v>Target class</x:v>
      </x:c>
      <x:c r="H13" s="2"/>
      <x:c r="I13" s="2"/>
      <x:c r="J13" s="2"/>
      <x:c r="K13" s="2"/>
    </x:row>
    <x:row r="14" ht="28" customHeight="1">
      <x:c r="A14" s="59" t="str">
        <x:v>temperature_c</x:v>
      </x:c>
      <x:c r="B14" s="44" t="str">
        <x:v>°C</x:v>
      </x:c>
      <x:c r="C14" s="44" t="str">
        <x:v>BME280 temperature</x:v>
      </x:c>
      <x:c r="D14" s="44" t="str">
        <x:v>−40 to 85 °C</x:v>
      </x:c>
      <x:c r="E14" s="2"/>
      <x:c r="F14" s="2"/>
      <x:c r="G14" s="2"/>
      <x:c r="H14" s="2"/>
      <x:c r="I14" s="2"/>
      <x:c r="J14" s="2"/>
      <x:c r="K14" s="2"/>
    </x:row>
    <x:row r="15" ht="28" customHeight="1">
      <x:c r="A15" s="59" t="str">
        <x:v>humidity_percent</x:v>
      </x:c>
      <x:c r="B15" s="44" t="str">
        <x:v>%RH</x:v>
      </x:c>
      <x:c r="C15" s="44" t="str">
        <x:v>BME280 humidity</x:v>
      </x:c>
      <x:c r="D15" s="44" t="str">
        <x:v>0 to 100%</x:v>
      </x:c>
      <x:c r="E15" s="2"/>
      <x:c r="F15" s="2"/>
      <x:c r="G15" s="2"/>
      <x:c r="H15" s="2"/>
      <x:c r="I15" s="2"/>
      <x:c r="J15" s="2"/>
      <x:c r="K15" s="2"/>
    </x:row>
    <x:row r="16" ht="26" customHeight="1">
      <x:c r="A16" s="59" t="str">
        <x:v>pressure_hpa</x:v>
      </x:c>
      <x:c r="B16" s="44" t="str">
        <x:v>hPa</x:v>
      </x:c>
      <x:c r="C16" s="44" t="str">
        <x:v>BME280 pressure</x:v>
      </x:c>
      <x:c r="D16" s="44" t="str">
        <x:v>300 to 1100 hPa; retained in raw</x:v>
      </x:c>
      <x:c r="E16" s="2"/>
      <x:c r="F16" s="23" t="str">
        <x:v>Quality rule</x:v>
      </x:c>
      <x:c r="G16" s="24" t="str"/>
      <x:c r="H16" s="24" t="str"/>
      <x:c r="I16" s="24" t="str"/>
      <x:c r="J16" s="25" t="str"/>
      <x:c r="K16" s="2"/>
    </x:row>
    <x:row r="17" ht="28" customHeight="1">
      <x:c r="A17" s="59" t="str">
        <x:v>light_lux</x:v>
      </x:c>
      <x:c r="B17" s="44" t="str">
        <x:v>lux</x:v>
      </x:c>
      <x:c r="C17" s="44" t="str">
        <x:v>BH1750 ambient light</x:v>
      </x:c>
      <x:c r="D17" s="44" t="str">
        <x:v>0 to 65,535 lux</x:v>
      </x:c>
      <x:c r="E17" s="2"/>
      <x:c r="F17" s="43" t="str">
        <x:v>Sampling</x:v>
      </x:c>
      <x:c r="G17" s="43" t="str">
        <x:v>1 synchronized row per second</x:v>
      </x:c>
      <x:c r="H17" s="43" t="str"/>
      <x:c r="I17" s="43" t="str"/>
      <x:c r="J17" s="43" t="str"/>
      <x:c r="K17" s="2"/>
    </x:row>
    <x:row r="18" ht="28" customHeight="1">
      <x:c r="A18" s="59" t="str">
        <x:v>sample_valid</x:v>
      </x:c>
      <x:c r="B18" s="44" t="str">
        <x:v>0/1</x:v>
      </x:c>
      <x:c r="C18" s="44" t="str">
        <x:v>BME280 and BH1750 read succeeded</x:v>
      </x:c>
      <x:c r="D18" s="44" t="str">
        <x:v>Only rows with 1 are used</x:v>
      </x:c>
      <x:c r="E18" s="2"/>
      <x:c r="F18" s="44" t="str">
        <x:v>Minimum coverage</x:v>
      </x:c>
      <x:c r="G18" s="44" t="str">
        <x:v>At least 3 sessions per class; 5 preferred</x:v>
      </x:c>
      <x:c r="H18" s="44" t="str"/>
      <x:c r="I18" s="44" t="str"/>
      <x:c r="J18" s="44" t="str"/>
      <x:c r="K18" s="2"/>
    </x:row>
    <x:row r="19" ht="28" customHeight="1">
      <x:c r="A19" s="60" t="str">
        <x:v>occupancy_label</x:v>
      </x:c>
      <x:c r="B19" s="45" t="str">
        <x:v>class</x:v>
      </x:c>
      <x:c r="C19" s="45" t="str">
        <x:v>Manual ground truth</x:v>
      </x:c>
      <x:c r="D19" s="45" t="str">
        <x:v>EMPTY, LOW, or HIGH</x:v>
      </x:c>
      <x:c r="E19" s="2"/>
      <x:c r="F19" s="44" t="str">
        <x:v>ToF invalid</x:v>
      </x:c>
      <x:c r="G19" s="44" t="str">
        <x:v>Status other than 0 or 8190/8191 mm is not a distance</x:v>
      </x:c>
      <x:c r="H19" s="44" t="str"/>
      <x:c r="I19" s="44" t="str"/>
      <x:c r="J19" s="44" t="str"/>
      <x:c r="K19" s="2"/>
    </x:row>
    <x:row r="20" ht="28" customHeight="1">
      <x:c r="A20" s="2"/>
      <x:c r="B20" s="2"/>
      <x:c r="C20" s="2"/>
      <x:c r="D20" s="2"/>
      <x:c r="E20" s="2"/>
      <x:c r="F20" s="44" t="str">
        <x:v>Short ToF gap</x:v>
      </x:c>
      <x:c r="G20" s="44" t="str">
        <x:v>Forward-fill at most 3 consecutive samples</x:v>
      </x:c>
      <x:c r="H20" s="44" t="str"/>
      <x:c r="I20" s="44" t="str"/>
      <x:c r="J20" s="44" t="str"/>
      <x:c r="K20" s="2"/>
    </x:row>
    <x:row r="21" ht="28" customHeight="1">
      <x:c r="A21" s="2"/>
      <x:c r="B21" s="2"/>
      <x:c r="C21" s="2"/>
      <x:c r="D21" s="2"/>
      <x:c r="E21" s="2"/>
      <x:c r="F21" s="44" t="str">
        <x:v>Mounting</x:v>
      </x:c>
      <x:c r="G21" s="44" t="str">
        <x:v>Keep device position and angle fixed across normal sessions</x:v>
      </x:c>
      <x:c r="H21" s="44" t="str"/>
      <x:c r="I21" s="44" t="str"/>
      <x:c r="J21" s="44" t="str"/>
      <x:c r="K21" s="2"/>
    </x:row>
    <x:row r="22" ht="28" customHeight="1">
      <x:c r="A22" s="2"/>
      <x:c r="B22" s="2"/>
      <x:c r="C22" s="2"/>
      <x:c r="D22" s="2"/>
      <x:c r="E22" s="2"/>
      <x:c r="F22" s="44" t="str">
        <x:v>Class change</x:v>
      </x:c>
      <x:c r="G22" s="44" t="str">
        <x:v>Stop, select the new label, then start a new session</x:v>
      </x:c>
      <x:c r="H22" s="44" t="str"/>
      <x:c r="I22" s="44" t="str"/>
      <x:c r="J22" s="44" t="str"/>
      <x:c r="K22" s="2"/>
    </x:row>
    <x:row r="23" ht="28" customHeight="1">
      <x:c r="A23" s="2"/>
      <x:c r="B23" s="2"/>
      <x:c r="C23" s="2"/>
      <x:c r="D23" s="2"/>
      <x:c r="E23" s="2"/>
      <x:c r="F23" s="45" t="str">
        <x:v>Optional filter</x:v>
      </x:c>
      <x:c r="G23" s="45" t="str">
        <x:v>Causal median only; deployment must use the same filter</x:v>
      </x:c>
      <x:c r="H23" s="45" t="str"/>
      <x:c r="I23" s="45" t="str"/>
      <x:c r="J23" s="45" t="str"/>
      <x:c r="K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</x:sheetData>
  <x:pageMargins left="0.7" right="0.7" top="0.75" bottom="0.75" header="0.3" footer="0.3"/>
</x:worksheet>
</file>